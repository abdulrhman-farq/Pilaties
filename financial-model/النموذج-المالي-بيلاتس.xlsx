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افتراضات" sheetId="1" state="visible" r:id="rId1"/>
    <sheet name="التكلفة التأسيسية" sheetId="2" state="visible" r:id="rId2"/>
    <sheet name="التكاليف التشغيلية" sheetId="3" state="visible" r:id="rId3"/>
    <sheet name="سيناريوهات الإشغال" sheetId="4" state="visible" r:id="rId4"/>
    <sheet name="توقعات 5 سنوات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1F4E78"/>
      <sz val="11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8B8B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3" fontId="3" fillId="4" borderId="1" applyAlignment="1" pivotButton="0" quotePrefix="0" xfId="0">
      <alignment horizontal="center" vertical="center" wrapText="1"/>
    </xf>
    <xf numFmtId="0" fontId="5" fillId="5" borderId="1" pivotButton="0" quotePrefix="0" xfId="0"/>
    <xf numFmtId="3" fontId="5" fillId="5" borderId="1" pivotButton="0" quotePrefix="0" xfId="0"/>
    <xf numFmtId="3" fontId="3" fillId="0" borderId="1" pivotButton="0" quotePrefix="0" xfId="0"/>
    <xf numFmtId="0" fontId="2" fillId="2" borderId="1" pivotButton="0" quotePrefix="0" xfId="0"/>
    <xf numFmtId="3" fontId="2" fillId="2" borderId="1" pivotButton="0" quotePrefix="0" xfId="0"/>
    <xf numFmtId="0" fontId="3" fillId="0" borderId="1" applyAlignment="1" pivotButton="0" quotePrefix="0" xfId="0">
      <alignment horizontal="right" vertical="center"/>
    </xf>
    <xf numFmtId="9" fontId="3" fillId="0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3" fontId="3" fillId="6" borderId="1" applyAlignment="1" pivotButton="0" quotePrefix="0" xfId="0">
      <alignment horizontal="center" vertical="center" wrapText="1"/>
    </xf>
    <xf numFmtId="0" fontId="2" fillId="5" borderId="1" pivotButton="0" quotePrefix="0" xfId="0"/>
    <xf numFmtId="164" fontId="2" fillId="5" borderId="1" pivotButton="0" quotePrefix="0" xfId="0"/>
    <xf numFmtId="0" fontId="3" fillId="0" borderId="1" applyAlignment="1" pivotButton="0" quotePrefix="0" xfId="0">
      <alignment horizontal="center" vertical="center" wrapText="1"/>
    </xf>
    <xf numFmtId="9" fontId="3" fillId="4" borderId="1" applyAlignment="1" pivotButton="0" quotePrefix="0" xfId="0">
      <alignment horizontal="center" vertical="center" wrapText="1"/>
    </xf>
    <xf numFmtId="3" fontId="3" fillId="7" borderId="1" applyAlignment="1" pivotButton="0" quotePrefix="0" xfId="0">
      <alignment horizontal="center" vertical="center" wrapText="1"/>
    </xf>
    <xf numFmtId="164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</cols>
  <sheetData>
    <row r="1" ht="28" customHeight="1">
      <c r="A1" s="1" t="inlineStr">
        <is>
          <t>الافتراضات الأساسية (عدّل الخلايا الصفراء فقط)</t>
        </is>
      </c>
    </row>
    <row r="2">
      <c r="A2" s="2" t="inlineStr">
        <is>
          <t>البند</t>
        </is>
      </c>
      <c r="B2" s="2" t="inlineStr">
        <is>
          <t>القيمة</t>
        </is>
      </c>
      <c r="C2" s="2" t="inlineStr">
        <is>
          <t>الوحدة</t>
        </is>
      </c>
    </row>
    <row r="3">
      <c r="A3" s="3" t="inlineStr">
        <is>
          <t>سعر الصرف (USD/SAR)</t>
        </is>
      </c>
      <c r="B3" s="4" t="n">
        <v>3.75</v>
      </c>
      <c r="C3" s="3" t="inlineStr">
        <is>
          <t>ريال/دولار</t>
        </is>
      </c>
    </row>
    <row r="4">
      <c r="A4" s="3" t="inlineStr">
        <is>
          <t>عدد أجهزة Reformer</t>
        </is>
      </c>
      <c r="B4" s="4" t="n">
        <v>6</v>
      </c>
      <c r="C4" s="3" t="inlineStr">
        <is>
          <t>جهاز</t>
        </is>
      </c>
    </row>
    <row r="5">
      <c r="A5" s="3" t="inlineStr">
        <is>
          <t>سعة الجهاز (عميلة/حصة)</t>
        </is>
      </c>
      <c r="B5" s="4" t="n">
        <v>1</v>
      </c>
      <c r="C5" s="3" t="inlineStr">
        <is>
          <t>عميلة</t>
        </is>
      </c>
    </row>
    <row r="6">
      <c r="A6" s="3" t="inlineStr">
        <is>
          <t>عدد الحصص اليومية</t>
        </is>
      </c>
      <c r="B6" s="4" t="n">
        <v>7</v>
      </c>
      <c r="C6" s="3" t="inlineStr">
        <is>
          <t>حصة</t>
        </is>
      </c>
    </row>
    <row r="7">
      <c r="A7" s="3" t="inlineStr">
        <is>
          <t>أيام التشغيل شهرياً</t>
        </is>
      </c>
      <c r="B7" s="4" t="n">
        <v>26</v>
      </c>
      <c r="C7" s="3" t="inlineStr">
        <is>
          <t>يوم</t>
        </is>
      </c>
    </row>
    <row r="8">
      <c r="A8" s="3" t="inlineStr">
        <is>
          <t>سعر الحصة المفردة</t>
        </is>
      </c>
      <c r="B8" s="5" t="n">
        <v>150</v>
      </c>
      <c r="C8" s="3" t="inlineStr">
        <is>
          <t>ريال</t>
        </is>
      </c>
    </row>
    <row r="9">
      <c r="A9" s="3" t="inlineStr">
        <is>
          <t>الإيجار السنوي</t>
        </is>
      </c>
      <c r="B9" s="5" t="n">
        <v>204000</v>
      </c>
      <c r="C9" s="3" t="inlineStr">
        <is>
          <t>ريال/سنة</t>
        </is>
      </c>
    </row>
    <row r="10">
      <c r="A10" s="3" t="inlineStr">
        <is>
          <t>رواتب الموظفات (شهري)</t>
        </is>
      </c>
      <c r="B10" s="5" t="n">
        <v>27000</v>
      </c>
      <c r="C10" s="3" t="inlineStr">
        <is>
          <t>ريال/شهر</t>
        </is>
      </c>
    </row>
    <row r="11">
      <c r="A11" s="3" t="inlineStr">
        <is>
          <t>التأمينات + نهاية الخدمة (شهري)</t>
        </is>
      </c>
      <c r="B11" s="5" t="n">
        <v>2200</v>
      </c>
      <c r="C11" s="3" t="inlineStr">
        <is>
          <t>ريال/شهر</t>
        </is>
      </c>
    </row>
    <row r="12">
      <c r="A12" s="3" t="inlineStr">
        <is>
          <t>كهرباء وماء (شهري)</t>
        </is>
      </c>
      <c r="B12" s="5" t="n">
        <v>3800</v>
      </c>
      <c r="C12" s="3" t="inlineStr">
        <is>
          <t>ريال/شهر</t>
        </is>
      </c>
    </row>
    <row r="13">
      <c r="A13" s="3" t="inlineStr">
        <is>
          <t>نظام الحجز + اتصالات (شهري)</t>
        </is>
      </c>
      <c r="B13" s="5" t="n">
        <v>1500</v>
      </c>
      <c r="C13" s="3" t="inlineStr">
        <is>
          <t>ريال/شهر</t>
        </is>
      </c>
    </row>
    <row r="14">
      <c r="A14" s="3" t="inlineStr">
        <is>
          <t>التسويق (شهري)</t>
        </is>
      </c>
      <c r="B14" s="5" t="n">
        <v>5000</v>
      </c>
      <c r="C14" s="3" t="inlineStr">
        <is>
          <t>ريال/شهر</t>
        </is>
      </c>
    </row>
    <row r="15">
      <c r="A15" s="3" t="inlineStr">
        <is>
          <t>مستهلكات وغسيل (شهري)</t>
        </is>
      </c>
      <c r="B15" s="5" t="n">
        <v>2000</v>
      </c>
      <c r="C15" s="3" t="inlineStr">
        <is>
          <t>ريال/شهر</t>
        </is>
      </c>
    </row>
    <row r="16">
      <c r="A16" s="3" t="inlineStr">
        <is>
          <t>صيانة الأجهزة (شهري)</t>
        </is>
      </c>
      <c r="B16" s="5" t="n">
        <v>1000</v>
      </c>
      <c r="C16" s="3" t="inlineStr">
        <is>
          <t>ريال/شهر</t>
        </is>
      </c>
    </row>
    <row r="17">
      <c r="A17" s="3" t="inlineStr">
        <is>
          <t>محاسبة وإداريات (شهري)</t>
        </is>
      </c>
      <c r="B17" s="5" t="n">
        <v>1500</v>
      </c>
      <c r="C17" s="3" t="inlineStr">
        <is>
          <t>ريال/شهر</t>
        </is>
      </c>
    </row>
    <row r="18">
      <c r="A18" s="3" t="inlineStr">
        <is>
          <t>معدل الخصم لحساب NPV</t>
        </is>
      </c>
      <c r="B18" s="4" t="n">
        <v>0.15</v>
      </c>
      <c r="C18" s="3" t="inlineStr">
        <is>
          <t>نسبة</t>
        </is>
      </c>
    </row>
    <row r="19">
      <c r="A19" s="6" t="inlineStr">
        <is>
          <t>الطاقة الشهرية القصوى (حصة-عميلة)</t>
        </is>
      </c>
      <c r="B19" s="7">
        <f>الافتراضات!$B$4*الافتراضات!$B$5*الافتراضات!$B$6*الافتراضات!$B$7</f>
        <v/>
      </c>
      <c r="C19" s="6" t="n"/>
    </row>
    <row r="20">
      <c r="A20" s="6" t="inlineStr">
        <is>
          <t>الإيراد الشهري عند 100% إشغال</t>
        </is>
      </c>
      <c r="B20" s="7">
        <f>الافتراضات!$B$19*الافتراضات!$B$8</f>
        <v/>
      </c>
      <c r="C20" s="6" t="n"/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42" customWidth="1" min="1" max="1"/>
    <col width="16" customWidth="1" min="2" max="2"/>
  </cols>
  <sheetData>
    <row r="1" ht="28" customHeight="1">
      <c r="A1" s="1" t="inlineStr">
        <is>
          <t>التكلفة التأسيسية (CapEx) — بالريال السعودي</t>
        </is>
      </c>
    </row>
    <row r="2">
      <c r="A2" s="2" t="inlineStr">
        <is>
          <t>البند</t>
        </is>
      </c>
      <c r="B2" s="2" t="inlineStr">
        <is>
          <t>القيمة (ريال)</t>
        </is>
      </c>
    </row>
    <row r="3">
      <c r="A3" s="3" t="inlineStr">
        <is>
          <t>أجهزة Reformer مُورّدة (FOB+شحن+جمارك+نقل)</t>
        </is>
      </c>
      <c r="B3" s="8" t="n">
        <v>41000</v>
      </c>
    </row>
    <row r="4">
      <c r="A4" s="3" t="inlineStr">
        <is>
          <t>أدوات مساعدة (Props)</t>
        </is>
      </c>
      <c r="B4" s="8" t="n">
        <v>15000</v>
      </c>
    </row>
    <row r="5">
      <c r="A5" s="3" t="inlineStr">
        <is>
          <t>ديكور وتجهيز داخلي وأثاث</t>
        </is>
      </c>
      <c r="B5" s="8" t="n">
        <v>80000</v>
      </c>
    </row>
    <row r="6">
      <c r="A6" s="3" t="inlineStr">
        <is>
          <t>لوحة خارجية وأنظمة تقنية وكاميرات</t>
        </is>
      </c>
      <c r="B6" s="8" t="n">
        <v>15000</v>
      </c>
    </row>
    <row r="7">
      <c r="A7" s="3" t="inlineStr">
        <is>
          <t>رخص وتراخيص حكومية</t>
        </is>
      </c>
      <c r="B7" s="8" t="n">
        <v>15000</v>
      </c>
    </row>
    <row r="8">
      <c r="A8" s="3" t="inlineStr">
        <is>
          <t>احتياطي طوارئ</t>
        </is>
      </c>
      <c r="B8" s="8" t="n">
        <v>9000</v>
      </c>
    </row>
    <row r="9">
      <c r="A9" s="6" t="inlineStr">
        <is>
          <t>إجمالي التأسيس (قبل رأس المال العامل)</t>
        </is>
      </c>
      <c r="B9" s="7">
        <f>SUM(B3:B8)</f>
        <v/>
      </c>
    </row>
    <row r="10">
      <c r="A10" s="3" t="inlineStr">
        <is>
          <t>رأس المال العامل</t>
        </is>
      </c>
      <c r="B10" s="8" t="n">
        <v>100000</v>
      </c>
    </row>
    <row r="11">
      <c r="A11" s="9" t="inlineStr">
        <is>
          <t>إجمالي الاستثمار المطلوب</t>
        </is>
      </c>
      <c r="B11" s="10">
        <f>B9+B10</f>
        <v/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 ht="28" customHeight="1">
      <c r="A1" s="1" t="inlineStr">
        <is>
          <t>التكاليف التشغيلية الشهرية (OpEx)</t>
        </is>
      </c>
    </row>
    <row r="2">
      <c r="A2" s="2" t="inlineStr">
        <is>
          <t>البند</t>
        </is>
      </c>
      <c r="B2" s="2" t="inlineStr">
        <is>
          <t>القيمة (ريال/شهر)</t>
        </is>
      </c>
    </row>
    <row r="3">
      <c r="A3" s="3" t="inlineStr">
        <is>
          <t>الإيجار (سنوي ÷ 12)</t>
        </is>
      </c>
      <c r="B3" s="8">
        <f>الافتراضات!$B$9/12</f>
        <v/>
      </c>
    </row>
    <row r="4">
      <c r="A4" s="3" t="inlineStr">
        <is>
          <t>رواتب الموظفات</t>
        </is>
      </c>
      <c r="B4" s="8">
        <f>الافتراضات!$B$10</f>
        <v/>
      </c>
    </row>
    <row r="5">
      <c r="A5" s="3" t="inlineStr">
        <is>
          <t>التأمينات + نهاية الخدمة</t>
        </is>
      </c>
      <c r="B5" s="8">
        <f>الافتراضات!$B$11</f>
        <v/>
      </c>
    </row>
    <row r="6">
      <c r="A6" s="3" t="inlineStr">
        <is>
          <t>كهرباء وماء</t>
        </is>
      </c>
      <c r="B6" s="8">
        <f>الافتراضات!$B$12</f>
        <v/>
      </c>
    </row>
    <row r="7">
      <c r="A7" s="3" t="inlineStr">
        <is>
          <t>نظام الحجز + اتصالات</t>
        </is>
      </c>
      <c r="B7" s="8">
        <f>الافتراضات!$B$13</f>
        <v/>
      </c>
    </row>
    <row r="8">
      <c r="A8" s="3" t="inlineStr">
        <is>
          <t>التسويق</t>
        </is>
      </c>
      <c r="B8" s="8">
        <f>الافتراضات!$B$14</f>
        <v/>
      </c>
    </row>
    <row r="9">
      <c r="A9" s="3" t="inlineStr">
        <is>
          <t>مستهلكات وغسيل وتنظيف</t>
        </is>
      </c>
      <c r="B9" s="8">
        <f>الافتراضات!$B$15</f>
        <v/>
      </c>
    </row>
    <row r="10">
      <c r="A10" s="3" t="inlineStr">
        <is>
          <t>صيانة الأجهزة</t>
        </is>
      </c>
      <c r="B10" s="8">
        <f>الافتراضات!$B$16</f>
        <v/>
      </c>
    </row>
    <row r="11">
      <c r="A11" s="3" t="inlineStr">
        <is>
          <t>محاسبة وإداريات</t>
        </is>
      </c>
      <c r="B11" s="8">
        <f>الافتراضات!$B$17</f>
        <v/>
      </c>
    </row>
    <row r="12">
      <c r="A12" s="9" t="inlineStr">
        <is>
          <t>إجمالي المصروف التشغيلي الشهري</t>
        </is>
      </c>
      <c r="B12" s="10">
        <f>SUM(B3:B11)</f>
        <v/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سيناريوهات الإشغال (الأرقام تتحدّث تلقائياً من الافتراضات)</t>
        </is>
      </c>
    </row>
    <row r="2">
      <c r="A2" s="2" t="inlineStr">
        <is>
          <t>المؤشر</t>
        </is>
      </c>
      <c r="B2" s="2" t="inlineStr">
        <is>
          <t>إشغال 30%</t>
        </is>
      </c>
      <c r="C2" s="2" t="inlineStr">
        <is>
          <t>إشغال 50%</t>
        </is>
      </c>
      <c r="D2" s="2" t="inlineStr">
        <is>
          <t>إشغال 70%</t>
        </is>
      </c>
      <c r="E2" s="2" t="inlineStr">
        <is>
          <t>إشغال 90%</t>
        </is>
      </c>
    </row>
    <row r="3">
      <c r="A3" s="11" t="inlineStr">
        <is>
          <t>نسبة الإشغال</t>
        </is>
      </c>
      <c r="B3" s="12" t="n">
        <v>0.3</v>
      </c>
      <c r="C3" s="12" t="n">
        <v>0.5</v>
      </c>
      <c r="D3" s="12" t="n">
        <v>0.7</v>
      </c>
      <c r="E3" s="12" t="n">
        <v>0.9</v>
      </c>
    </row>
    <row r="4">
      <c r="A4" s="11" t="inlineStr">
        <is>
          <t>المقاعد المباعة/شهر</t>
        </is>
      </c>
      <c r="B4" s="13">
        <f>ROUND(B3*الافتراضات!$B$19,0)</f>
        <v/>
      </c>
      <c r="C4" s="13">
        <f>ROUND(C3*الافتراضات!$B$19,0)</f>
        <v/>
      </c>
      <c r="D4" s="13">
        <f>ROUND(D3*الافتراضات!$B$19,0)</f>
        <v/>
      </c>
      <c r="E4" s="13">
        <f>ROUND(E3*الافتراضات!$B$19,0)</f>
        <v/>
      </c>
    </row>
    <row r="5">
      <c r="A5" s="11" t="inlineStr">
        <is>
          <t>متوسط العميلات/حصة</t>
        </is>
      </c>
      <c r="B5" s="13">
        <f>ROUND(B3*الافتراضات!$B$4,1)</f>
        <v/>
      </c>
      <c r="C5" s="13">
        <f>ROUND(C3*الافتراضات!$B$4,1)</f>
        <v/>
      </c>
      <c r="D5" s="13">
        <f>ROUND(D3*الافتراضات!$B$4,1)</f>
        <v/>
      </c>
      <c r="E5" s="13">
        <f>ROUND(E3*الافتراضات!$B$4,1)</f>
        <v/>
      </c>
    </row>
    <row r="6">
      <c r="A6" s="11" t="inlineStr">
        <is>
          <t>الإيراد الشهري (ريال)</t>
        </is>
      </c>
      <c r="B6" s="13">
        <f>B4*الافتراضات!$B$8</f>
        <v/>
      </c>
      <c r="C6" s="13">
        <f>C4*الافتراضات!$B$8</f>
        <v/>
      </c>
      <c r="D6" s="13">
        <f>D4*الافتراضات!$B$8</f>
        <v/>
      </c>
      <c r="E6" s="13">
        <f>E4*الافتراضات!$B$8</f>
        <v/>
      </c>
    </row>
    <row r="7">
      <c r="A7" s="11" t="inlineStr">
        <is>
          <t>المصروف التشغيلي الشهري</t>
        </is>
      </c>
      <c r="B7" s="13">
        <f>-'التكاليف التشغيلية'!$B$12</f>
        <v/>
      </c>
      <c r="C7" s="13">
        <f>-'التكاليف التشغيلية'!$B$12</f>
        <v/>
      </c>
      <c r="D7" s="13">
        <f>-'التكاليف التشغيلية'!$B$12</f>
        <v/>
      </c>
      <c r="E7" s="13">
        <f>-'التكاليف التشغيلية'!$B$12</f>
        <v/>
      </c>
    </row>
    <row r="8">
      <c r="A8" s="11" t="inlineStr">
        <is>
          <t>صافي الربح الشهري (ريال)</t>
        </is>
      </c>
      <c r="B8" s="14">
        <f>B6+B7</f>
        <v/>
      </c>
      <c r="C8" s="14">
        <f>C6+C7</f>
        <v/>
      </c>
      <c r="D8" s="14">
        <f>D6+D7</f>
        <v/>
      </c>
      <c r="E8" s="14">
        <f>E6+E7</f>
        <v/>
      </c>
    </row>
    <row r="9">
      <c r="A9" s="11" t="inlineStr">
        <is>
          <t>صافي الربح السنوي (ريال)</t>
        </is>
      </c>
      <c r="B9" s="14">
        <f>B8*12</f>
        <v/>
      </c>
      <c r="C9" s="14">
        <f>C8*12</f>
        <v/>
      </c>
      <c r="D9" s="14">
        <f>D8*12</f>
        <v/>
      </c>
      <c r="E9" s="14">
        <f>E8*12</f>
        <v/>
      </c>
    </row>
    <row r="10">
      <c r="A10" s="11" t="inlineStr">
        <is>
          <t>فترة الاسترداد (شهر)</t>
        </is>
      </c>
      <c r="B10" s="13">
        <f>IF(B8&gt;0,ROUND('التكلفة التأسيسية'!$B$11/B8,1),"لا يُسترد")</f>
        <v/>
      </c>
      <c r="C10" s="13">
        <f>IF(C8&gt;0,ROUND('التكلفة التأسيسية'!$B$11/C8,1),"لا يُسترد")</f>
        <v/>
      </c>
      <c r="D10" s="13">
        <f>IF(D8&gt;0,ROUND('التكلفة التأسيسية'!$B$11/D8,1),"لا يُسترد")</f>
        <v/>
      </c>
      <c r="E10" s="13">
        <f>IF(E8&gt;0,ROUND('التكلفة التأسيسية'!$B$11/E8,1),"لا يُسترد")</f>
        <v/>
      </c>
    </row>
    <row r="11">
      <c r="A11" s="11" t="inlineStr">
        <is>
          <t>ROI سنوي</t>
        </is>
      </c>
      <c r="B11" s="12">
        <f>B9/'التكلفة التأسيسية'!$B$11</f>
        <v/>
      </c>
      <c r="C11" s="12">
        <f>C9/'التكلفة التأسيسية'!$B$11</f>
        <v/>
      </c>
      <c r="D11" s="12">
        <f>D9/'التكلفة التأسيسية'!$B$11</f>
        <v/>
      </c>
      <c r="E11" s="12">
        <f>E9/'التكلفة التأسيسية'!$B$11</f>
        <v/>
      </c>
    </row>
    <row r="12"/>
    <row r="13">
      <c r="A13" s="15" t="inlineStr">
        <is>
          <t>نقطة التعادل (نسبة إشغال)</t>
        </is>
      </c>
      <c r="B13" s="16">
        <f>'التكاليف التشغيلية'!$B$12/الافتراضات!$B$20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8" customHeight="1">
      <c r="A1" s="1" t="inlineStr">
        <is>
          <t>التوقعات المالية 5 سنوات والمؤشرات (NPV / IRR / Payback)</t>
        </is>
      </c>
    </row>
    <row r="2">
      <c r="A2" s="2" t="inlineStr">
        <is>
          <t>البند</t>
        </is>
      </c>
      <c r="B2" s="2" t="inlineStr">
        <is>
          <t>السنة 0</t>
        </is>
      </c>
      <c r="C2" s="2" t="inlineStr">
        <is>
          <t>السنة 1</t>
        </is>
      </c>
      <c r="D2" s="2" t="inlineStr">
        <is>
          <t>السنة 2</t>
        </is>
      </c>
      <c r="E2" s="2" t="inlineStr">
        <is>
          <t>السنة 3</t>
        </is>
      </c>
      <c r="F2" s="2" t="inlineStr">
        <is>
          <t>السنة 4</t>
        </is>
      </c>
      <c r="G2" s="2" t="inlineStr">
        <is>
          <t>السنة 5</t>
        </is>
      </c>
    </row>
    <row r="3">
      <c r="A3" s="11" t="inlineStr">
        <is>
          <t>متوسط الإشغال</t>
        </is>
      </c>
      <c r="B3" s="17" t="n"/>
      <c r="C3" s="18" t="n">
        <v>0.38</v>
      </c>
      <c r="D3" s="18" t="n">
        <v>0.55</v>
      </c>
      <c r="E3" s="18" t="n">
        <v>0.63</v>
      </c>
      <c r="F3" s="18" t="n">
        <v>0.68</v>
      </c>
      <c r="G3" s="18" t="n">
        <v>0.7</v>
      </c>
    </row>
    <row r="4">
      <c r="A4" s="11" t="inlineStr">
        <is>
          <t>الإيراد السنوي</t>
        </is>
      </c>
      <c r="B4" s="17" t="n"/>
      <c r="C4" s="13">
        <f>C3*الافتراضات!$B$19*الافتراضات!$B$8*12</f>
        <v/>
      </c>
      <c r="D4" s="13">
        <f>D3*الافتراضات!$B$19*الافتراضات!$B$8*12</f>
        <v/>
      </c>
      <c r="E4" s="13">
        <f>E3*الافتراضات!$B$19*الافتراضات!$B$8*12</f>
        <v/>
      </c>
      <c r="F4" s="13">
        <f>F3*الافتراضات!$B$19*الافتراضات!$B$8*12</f>
        <v/>
      </c>
      <c r="G4" s="13">
        <f>G3*الافتراضات!$B$19*الافتراضات!$B$8*12</f>
        <v/>
      </c>
    </row>
    <row r="5">
      <c r="A5" s="11" t="inlineStr">
        <is>
          <t>المصروف السنوي</t>
        </is>
      </c>
      <c r="B5" s="17" t="n"/>
      <c r="C5" s="5" t="n">
        <v>762000</v>
      </c>
      <c r="D5" s="5" t="n">
        <v>754000</v>
      </c>
      <c r="E5" s="5" t="n">
        <v>885000</v>
      </c>
      <c r="F5" s="5" t="n">
        <v>911000</v>
      </c>
      <c r="G5" s="5" t="n">
        <v>938000</v>
      </c>
    </row>
    <row r="6">
      <c r="A6" s="11" t="inlineStr">
        <is>
          <t>صافي التدفق النقدي</t>
        </is>
      </c>
      <c r="B6" s="19">
        <f>-'التكلفة التأسيسية'!$B$11</f>
        <v/>
      </c>
      <c r="C6" s="14">
        <f>C4-C5</f>
        <v/>
      </c>
      <c r="D6" s="14">
        <f>D4-D5</f>
        <v/>
      </c>
      <c r="E6" s="14">
        <f>E4-E5</f>
        <v/>
      </c>
      <c r="F6" s="14">
        <f>F4-F5</f>
        <v/>
      </c>
      <c r="G6" s="14">
        <f>G4-G5</f>
        <v/>
      </c>
    </row>
    <row r="7">
      <c r="A7" s="11" t="inlineStr">
        <is>
          <t>التدفق التراكمي</t>
        </is>
      </c>
      <c r="B7" s="13">
        <f>B6</f>
        <v/>
      </c>
      <c r="C7" s="13">
        <f>B7+C6</f>
        <v/>
      </c>
      <c r="D7" s="13">
        <f>C7+D6</f>
        <v/>
      </c>
      <c r="E7" s="13">
        <f>D7+E6</f>
        <v/>
      </c>
      <c r="F7" s="13">
        <f>E7+F6</f>
        <v/>
      </c>
      <c r="G7" s="13">
        <f>F7+G6</f>
        <v/>
      </c>
    </row>
    <row r="8"/>
    <row r="9">
      <c r="A9" s="9" t="inlineStr">
        <is>
          <t>المؤشرات المالية</t>
        </is>
      </c>
      <c r="B9" s="9" t="n"/>
    </row>
    <row r="10">
      <c r="A10" s="6" t="inlineStr">
        <is>
          <t>NPV (صافي القيمة الحالية)</t>
        </is>
      </c>
      <c r="B10" s="7">
        <f>B6+NPV(الافتراضات!$B$18,C6:G6)</f>
        <v/>
      </c>
    </row>
    <row r="11">
      <c r="A11" s="6" t="inlineStr">
        <is>
          <t>IRR (معدل العائد الداخلي)</t>
        </is>
      </c>
      <c r="B11" s="20">
        <f>IRR(B6:G6)</f>
        <v/>
      </c>
    </row>
    <row r="12">
      <c r="A12" s="6" t="inlineStr">
        <is>
          <t>إجمالي صافي التدفقات (5 سنوات)</t>
        </is>
      </c>
      <c r="B12" s="7">
        <f>SUM(C6:G6)</f>
        <v/>
      </c>
    </row>
    <row r="13">
      <c r="A13" s="6" t="inlineStr">
        <is>
          <t>نقطة التعادل (إشغال)</t>
        </is>
      </c>
      <c r="B13" s="20">
        <f>'التكاليف التشغيلية'!$B$12*12/(الافتراضات!$B$19*الافتراضات!$B$8*12)</f>
        <v/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النموذج المالي - استوديو ريفورمر بيلاتس الرياض</dc:title>
  <dcterms:created xsi:type="dcterms:W3CDTF">2026-06-23T15:56:29Z</dcterms:created>
  <dcterms:modified xsi:type="dcterms:W3CDTF">2026-06-23T15:56:29Z</dcterms:modified>
</cp:coreProperties>
</file>